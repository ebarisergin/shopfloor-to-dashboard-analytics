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rb\Desktop\"/>
    </mc:Choice>
  </mc:AlternateContent>
  <xr:revisionPtr revIDLastSave="0" documentId="8_{7B4DD592-C85F-41F5-8B26-4B777D9B322D}" xr6:coauthVersionLast="47" xr6:coauthVersionMax="47" xr10:uidLastSave="{00000000-0000-0000-0000-000000000000}"/>
  <bookViews>
    <workbookView xWindow="-108" yWindow="-108" windowWidth="23256" windowHeight="12576" activeTab="3" xr2:uid="{5143D10F-588C-425D-9A95-C95D92A41173}"/>
  </bookViews>
  <sheets>
    <sheet name="Production_Lines" sheetId="1" r:id="rId1"/>
    <sheet name="Production_Logs" sheetId="2" r:id="rId2"/>
    <sheet name="Pivot_Tables" sheetId="3" r:id="rId3"/>
    <sheet name="Dashboard" sheetId="4" r:id="rId4"/>
  </sheets>
  <definedNames>
    <definedName name="Dilimleyici_Hat_Adi">#N/A</definedName>
    <definedName name="Dilimleyici_Urun_Grubu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4" l="1"/>
  <c r="H14" i="4"/>
  <c r="B14" i="4"/>
  <c r="J5" i="2"/>
  <c r="J6" i="2"/>
  <c r="J7" i="2"/>
  <c r="J8" i="2"/>
  <c r="J9" i="2"/>
  <c r="J10" i="2"/>
  <c r="J11" i="2"/>
  <c r="J12" i="2"/>
  <c r="J13" i="2"/>
  <c r="J14" i="2"/>
  <c r="I11" i="2"/>
  <c r="I7" i="2"/>
  <c r="I8" i="2"/>
  <c r="I9" i="2"/>
  <c r="I10" i="2"/>
  <c r="I12" i="2"/>
  <c r="I13" i="2"/>
  <c r="I14" i="2"/>
  <c r="I6" i="2"/>
  <c r="I5" i="2"/>
</calcChain>
</file>

<file path=xl/sharedStrings.xml><?xml version="1.0" encoding="utf-8"?>
<sst xmlns="http://schemas.openxmlformats.org/spreadsheetml/2006/main" count="63" uniqueCount="33">
  <si>
    <t>H01</t>
  </si>
  <si>
    <t>Montaj Hattı A</t>
  </si>
  <si>
    <t>Elektronik</t>
  </si>
  <si>
    <t>Ahmet Yılmaz</t>
  </si>
  <si>
    <t>H02</t>
  </si>
  <si>
    <t>Montaj Hattı B</t>
  </si>
  <si>
    <t>Canan Aydın</t>
  </si>
  <si>
    <t>H03</t>
  </si>
  <si>
    <t>Paketleme Hattı 1</t>
  </si>
  <si>
    <t>Mobilya</t>
  </si>
  <si>
    <t>Burak Kaya</t>
  </si>
  <si>
    <t>H04</t>
  </si>
  <si>
    <t>Plastik Enjeksiyon</t>
  </si>
  <si>
    <t>Yedek Parça</t>
  </si>
  <si>
    <t>Selin Demir</t>
  </si>
  <si>
    <t>Hat_ID</t>
  </si>
  <si>
    <t>Hat_Adi</t>
  </si>
  <si>
    <t>Urun_Grubu</t>
  </si>
  <si>
    <t>Sorumlu_Vardiya_Amiri</t>
  </si>
  <si>
    <t>Satır Etiketleri</t>
  </si>
  <si>
    <t>Genel Toplam</t>
  </si>
  <si>
    <t>Tarih</t>
  </si>
  <si>
    <t>Log_ID</t>
  </si>
  <si>
    <t>Hedeflenen_Miktar</t>
  </si>
  <si>
    <t>Uretilen_Miktar</t>
  </si>
  <si>
    <t>Hatali_Urun_Miktari</t>
  </si>
  <si>
    <t>Toplam Hedeflenen_Miktar</t>
  </si>
  <si>
    <t>Toplam Uretilen_Miktar</t>
  </si>
  <si>
    <t>Toplam Hatali_Urun_Miktari</t>
  </si>
  <si>
    <t>Manufacturing &amp; Quality Analytics Dashboard</t>
  </si>
  <si>
    <t>Production Volume</t>
  </si>
  <si>
    <t>Production Efficiency</t>
  </si>
  <si>
    <t>Defect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</si>
</sst>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6"/>
      <color rgb="FF0F172A"/>
      <name val="Arial"/>
      <family val="2"/>
      <charset val="162"/>
    </font>
    <font>
      <sz val="11"/>
      <color rgb="FF0F172A"/>
      <name val="Arial"/>
      <family val="2"/>
      <charset val="162"/>
    </font>
    <font>
      <b/>
      <sz val="16"/>
      <color rgb="FF166534"/>
      <name val="Arial"/>
      <family val="2"/>
      <charset val="162"/>
    </font>
    <font>
      <sz val="11"/>
      <color rgb="FF166534"/>
      <name val="Arial"/>
      <family val="2"/>
      <charset val="162"/>
    </font>
    <font>
      <b/>
      <sz val="16"/>
      <color rgb="FF991B1B"/>
      <name val="Arial"/>
      <family val="2"/>
      <charset val="162"/>
    </font>
    <font>
      <sz val="11"/>
      <color rgb="FF991B1B"/>
      <name val="Arial"/>
      <family val="2"/>
      <charset val="162"/>
    </font>
    <font>
      <b/>
      <sz val="28"/>
      <color theme="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pivotButton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91B1B"/>
      <color rgb="FFFEE2E2"/>
      <color rgb="FF166534"/>
      <color rgb="FFDCFCE7"/>
      <color rgb="FF0F172A"/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[Manufacturing_Quality_Dashboard_2026.xlsx]Pivot_Tables!PivotTable3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b="1">
                <a:latin typeface="Arial" panose="020B0604020202020204" pitchFamily="34" charset="0"/>
                <a:cs typeface="Arial" panose="020B0604020202020204" pitchFamily="34" charset="0"/>
              </a:rPr>
              <a:t>Targeted/Produced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Pivot_Tables!$D$4</c:f>
              <c:strCache>
                <c:ptCount val="1"/>
                <c:pt idx="0">
                  <c:v>Toplam Hedeflenen_Miktar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Pivot_Tables!$C$5:$C$9</c:f>
              <c:strCache>
                <c:ptCount val="4"/>
                <c:pt idx="0">
                  <c:v>Montaj Hattı A</c:v>
                </c:pt>
                <c:pt idx="1">
                  <c:v>Montaj Hattı B</c:v>
                </c:pt>
                <c:pt idx="2">
                  <c:v>Paketleme Hattı 1</c:v>
                </c:pt>
                <c:pt idx="3">
                  <c:v>Plastik Enjeksiyon</c:v>
                </c:pt>
              </c:strCache>
            </c:strRef>
          </c:cat>
          <c:val>
            <c:numRef>
              <c:f>Pivot_Tables!$D$5:$D$9</c:f>
              <c:numCache>
                <c:formatCode>General</c:formatCode>
                <c:ptCount val="4"/>
                <c:pt idx="0">
                  <c:v>1520</c:v>
                </c:pt>
                <c:pt idx="1">
                  <c:v>1270</c:v>
                </c:pt>
                <c:pt idx="2">
                  <c:v>610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3-41F9-A564-9961D1C423DD}"/>
            </c:ext>
          </c:extLst>
        </c:ser>
        <c:ser>
          <c:idx val="1"/>
          <c:order val="1"/>
          <c:tx>
            <c:strRef>
              <c:f>Pivot_Tables!$E$4</c:f>
              <c:strCache>
                <c:ptCount val="1"/>
                <c:pt idx="0">
                  <c:v>Toplam Uretilen_Miktar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Pivot_Tables!$C$5:$C$9</c:f>
              <c:strCache>
                <c:ptCount val="4"/>
                <c:pt idx="0">
                  <c:v>Montaj Hattı A</c:v>
                </c:pt>
                <c:pt idx="1">
                  <c:v>Montaj Hattı B</c:v>
                </c:pt>
                <c:pt idx="2">
                  <c:v>Paketleme Hattı 1</c:v>
                </c:pt>
                <c:pt idx="3">
                  <c:v>Plastik Enjeksiyon</c:v>
                </c:pt>
              </c:strCache>
            </c:strRef>
          </c:cat>
          <c:val>
            <c:numRef>
              <c:f>Pivot_Tables!$E$5:$E$9</c:f>
              <c:numCache>
                <c:formatCode>General</c:formatCode>
                <c:ptCount val="4"/>
                <c:pt idx="0">
                  <c:v>1485</c:v>
                </c:pt>
                <c:pt idx="1">
                  <c:v>1240</c:v>
                </c:pt>
                <c:pt idx="2">
                  <c:v>595</c:v>
                </c:pt>
                <c:pt idx="3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3-41F9-A564-9961D1C42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435680"/>
        <c:axId val="1428445280"/>
      </c:barChart>
      <c:catAx>
        <c:axId val="14284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45280"/>
        <c:crosses val="autoZero"/>
        <c:auto val="1"/>
        <c:lblAlgn val="ctr"/>
        <c:lblOffset val="100"/>
        <c:noMultiLvlLbl val="0"/>
      </c:catAx>
      <c:valAx>
        <c:axId val="14284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[Manufacturing_Quality_Dashboard_2026.xlsx]Pivot_Tables!PivotTable4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b="1">
                <a:latin typeface="Arial" panose="020B0604020202020204" pitchFamily="34" charset="0"/>
                <a:cs typeface="Arial" panose="020B0604020202020204" pitchFamily="34" charset="0"/>
              </a:rPr>
              <a:t>Total Faulty/Total Product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Pivot_Tables!$H$4</c:f>
              <c:strCache>
                <c:ptCount val="1"/>
                <c:pt idx="0">
                  <c:v>Toplam Uretilen_Miktar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Pivot_Tables!$G$5:$G$8</c:f>
              <c:strCache>
                <c:ptCount val="3"/>
                <c:pt idx="0">
                  <c:v>Elektronik</c:v>
                </c:pt>
                <c:pt idx="1">
                  <c:v>Mobilya</c:v>
                </c:pt>
                <c:pt idx="2">
                  <c:v>Yedek Parça</c:v>
                </c:pt>
              </c:strCache>
            </c:strRef>
          </c:cat>
          <c:val>
            <c:numRef>
              <c:f>Pivot_Tables!$H$5:$H$8</c:f>
              <c:numCache>
                <c:formatCode>General</c:formatCode>
                <c:ptCount val="3"/>
                <c:pt idx="0">
                  <c:v>2725</c:v>
                </c:pt>
                <c:pt idx="1">
                  <c:v>595</c:v>
                </c:pt>
                <c:pt idx="2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A-41B2-84EE-37224ECAF11C}"/>
            </c:ext>
          </c:extLst>
        </c:ser>
        <c:ser>
          <c:idx val="1"/>
          <c:order val="1"/>
          <c:tx>
            <c:strRef>
              <c:f>Pivot_Tables!$I$4</c:f>
              <c:strCache>
                <c:ptCount val="1"/>
                <c:pt idx="0">
                  <c:v>Toplam Hatali_Urun_Miktari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Pivot_Tables!$G$5:$G$8</c:f>
              <c:strCache>
                <c:ptCount val="3"/>
                <c:pt idx="0">
                  <c:v>Elektronik</c:v>
                </c:pt>
                <c:pt idx="1">
                  <c:v>Mobilya</c:v>
                </c:pt>
                <c:pt idx="2">
                  <c:v>Yedek Parça</c:v>
                </c:pt>
              </c:strCache>
            </c:strRef>
          </c:cat>
          <c:val>
            <c:numRef>
              <c:f>Pivot_Tables!$I$5:$I$8</c:f>
              <c:numCache>
                <c:formatCode>General</c:formatCode>
                <c:ptCount val="3"/>
                <c:pt idx="0">
                  <c:v>125</c:v>
                </c:pt>
                <c:pt idx="1">
                  <c:v>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A-41B2-84EE-37224ECA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435200"/>
        <c:axId val="1428447680"/>
      </c:barChart>
      <c:catAx>
        <c:axId val="14284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47680"/>
        <c:crosses val="autoZero"/>
        <c:auto val="1"/>
        <c:lblAlgn val="ctr"/>
        <c:lblOffset val="100"/>
        <c:noMultiLvlLbl val="0"/>
      </c:catAx>
      <c:valAx>
        <c:axId val="14284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[Manufacturing_Quality_Dashboard_2026.xlsx]Pivot_Tables!PivotTable5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Product Group Production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Pivot_Tables!$D$30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E3-4CC1-A611-76E47E1CB80F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3-4CC1-A611-76E47E1CB80F}"/>
              </c:ext>
            </c:extLst>
          </c:dPt>
          <c:cat>
            <c:strRef>
              <c:f>Pivot_Tables!$C$31:$C$34</c:f>
              <c:strCache>
                <c:ptCount val="3"/>
                <c:pt idx="0">
                  <c:v>Elektronik</c:v>
                </c:pt>
                <c:pt idx="1">
                  <c:v>Mobilya</c:v>
                </c:pt>
                <c:pt idx="2">
                  <c:v>Yedek Parça</c:v>
                </c:pt>
              </c:strCache>
            </c:strRef>
          </c:cat>
          <c:val>
            <c:numRef>
              <c:f>Pivot_Tables!$D$31:$D$34</c:f>
              <c:numCache>
                <c:formatCode>General</c:formatCode>
                <c:ptCount val="3"/>
                <c:pt idx="0">
                  <c:v>2725</c:v>
                </c:pt>
                <c:pt idx="1">
                  <c:v>595</c:v>
                </c:pt>
                <c:pt idx="2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CC1-A611-76E47E1CB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[Manufacturing_Quality_Dashboard_2026.xlsx]Pivot_Tables!PivotTable3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b="1">
                <a:latin typeface="Arial" panose="020B0604020202020204" pitchFamily="34" charset="0"/>
                <a:cs typeface="Arial" panose="020B0604020202020204" pitchFamily="34" charset="0"/>
              </a:rPr>
              <a:t>Targeted/Produced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Pivot_Tables!$D$4</c:f>
              <c:strCache>
                <c:ptCount val="1"/>
                <c:pt idx="0">
                  <c:v>Toplam Hedeflenen_Miktar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Pivot_Tables!$C$5:$C$9</c:f>
              <c:strCache>
                <c:ptCount val="4"/>
                <c:pt idx="0">
                  <c:v>Montaj Hattı A</c:v>
                </c:pt>
                <c:pt idx="1">
                  <c:v>Montaj Hattı B</c:v>
                </c:pt>
                <c:pt idx="2">
                  <c:v>Paketleme Hattı 1</c:v>
                </c:pt>
                <c:pt idx="3">
                  <c:v>Plastik Enjeksiyon</c:v>
                </c:pt>
              </c:strCache>
            </c:strRef>
          </c:cat>
          <c:val>
            <c:numRef>
              <c:f>Pivot_Tables!$D$5:$D$9</c:f>
              <c:numCache>
                <c:formatCode>General</c:formatCode>
                <c:ptCount val="4"/>
                <c:pt idx="0">
                  <c:v>1520</c:v>
                </c:pt>
                <c:pt idx="1">
                  <c:v>1270</c:v>
                </c:pt>
                <c:pt idx="2">
                  <c:v>610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7-4B46-BF92-7760069CFCA5}"/>
            </c:ext>
          </c:extLst>
        </c:ser>
        <c:ser>
          <c:idx val="1"/>
          <c:order val="1"/>
          <c:tx>
            <c:strRef>
              <c:f>Pivot_Tables!$E$4</c:f>
              <c:strCache>
                <c:ptCount val="1"/>
                <c:pt idx="0">
                  <c:v>Toplam Uretilen_Miktar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Pivot_Tables!$C$5:$C$9</c:f>
              <c:strCache>
                <c:ptCount val="4"/>
                <c:pt idx="0">
                  <c:v>Montaj Hattı A</c:v>
                </c:pt>
                <c:pt idx="1">
                  <c:v>Montaj Hattı B</c:v>
                </c:pt>
                <c:pt idx="2">
                  <c:v>Paketleme Hattı 1</c:v>
                </c:pt>
                <c:pt idx="3">
                  <c:v>Plastik Enjeksiyon</c:v>
                </c:pt>
              </c:strCache>
            </c:strRef>
          </c:cat>
          <c:val>
            <c:numRef>
              <c:f>Pivot_Tables!$E$5:$E$9</c:f>
              <c:numCache>
                <c:formatCode>General</c:formatCode>
                <c:ptCount val="4"/>
                <c:pt idx="0">
                  <c:v>1485</c:v>
                </c:pt>
                <c:pt idx="1">
                  <c:v>1240</c:v>
                </c:pt>
                <c:pt idx="2">
                  <c:v>595</c:v>
                </c:pt>
                <c:pt idx="3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7-4B46-BF92-7760069C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435680"/>
        <c:axId val="1428445280"/>
      </c:barChart>
      <c:catAx>
        <c:axId val="14284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45280"/>
        <c:crosses val="autoZero"/>
        <c:auto val="1"/>
        <c:lblAlgn val="ctr"/>
        <c:lblOffset val="100"/>
        <c:noMultiLvlLbl val="0"/>
      </c:catAx>
      <c:valAx>
        <c:axId val="14284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[Manufacturing_Quality_Dashboard_2026.xlsx]Pivot_Tables!PivotTable4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b="1">
                <a:latin typeface="Arial" panose="020B0604020202020204" pitchFamily="34" charset="0"/>
                <a:cs typeface="Arial" panose="020B0604020202020204" pitchFamily="34" charset="0"/>
              </a:rPr>
              <a:t>Total Faulty/Total Product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Pivot_Tables!$H$4</c:f>
              <c:strCache>
                <c:ptCount val="1"/>
                <c:pt idx="0">
                  <c:v>Toplam Uretilen_Miktar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Pivot_Tables!$G$5:$G$8</c:f>
              <c:strCache>
                <c:ptCount val="3"/>
                <c:pt idx="0">
                  <c:v>Elektronik</c:v>
                </c:pt>
                <c:pt idx="1">
                  <c:v>Mobilya</c:v>
                </c:pt>
                <c:pt idx="2">
                  <c:v>Yedek Parça</c:v>
                </c:pt>
              </c:strCache>
            </c:strRef>
          </c:cat>
          <c:val>
            <c:numRef>
              <c:f>Pivot_Tables!$H$5:$H$8</c:f>
              <c:numCache>
                <c:formatCode>General</c:formatCode>
                <c:ptCount val="3"/>
                <c:pt idx="0">
                  <c:v>2725</c:v>
                </c:pt>
                <c:pt idx="1">
                  <c:v>595</c:v>
                </c:pt>
                <c:pt idx="2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6-4FA0-A088-497F87FA0E37}"/>
            </c:ext>
          </c:extLst>
        </c:ser>
        <c:ser>
          <c:idx val="1"/>
          <c:order val="1"/>
          <c:tx>
            <c:strRef>
              <c:f>Pivot_Tables!$I$4</c:f>
              <c:strCache>
                <c:ptCount val="1"/>
                <c:pt idx="0">
                  <c:v>Toplam Hatali_Urun_Miktari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Pivot_Tables!$G$5:$G$8</c:f>
              <c:strCache>
                <c:ptCount val="3"/>
                <c:pt idx="0">
                  <c:v>Elektronik</c:v>
                </c:pt>
                <c:pt idx="1">
                  <c:v>Mobilya</c:v>
                </c:pt>
                <c:pt idx="2">
                  <c:v>Yedek Parça</c:v>
                </c:pt>
              </c:strCache>
            </c:strRef>
          </c:cat>
          <c:val>
            <c:numRef>
              <c:f>Pivot_Tables!$I$5:$I$8</c:f>
              <c:numCache>
                <c:formatCode>General</c:formatCode>
                <c:ptCount val="3"/>
                <c:pt idx="0">
                  <c:v>125</c:v>
                </c:pt>
                <c:pt idx="1">
                  <c:v>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6-4FA0-A088-497F87FA0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435200"/>
        <c:axId val="1428447680"/>
      </c:barChart>
      <c:catAx>
        <c:axId val="14284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47680"/>
        <c:crosses val="autoZero"/>
        <c:auto val="1"/>
        <c:lblAlgn val="ctr"/>
        <c:lblOffset val="100"/>
        <c:noMultiLvlLbl val="0"/>
      </c:catAx>
      <c:valAx>
        <c:axId val="14284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4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[Manufacturing_Quality_Dashboard_2026.xlsx]Pivot_Tables!PivotTable5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Product Group Production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Pivot_Tables!$D$30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8E-49CF-90AC-71B657BA05FC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8E-49CF-90AC-71B657BA05FC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8E-49CF-90AC-71B657BA05FC}"/>
              </c:ext>
            </c:extLst>
          </c:dPt>
          <c:cat>
            <c:strRef>
              <c:f>Pivot_Tables!$C$31:$C$34</c:f>
              <c:strCache>
                <c:ptCount val="3"/>
                <c:pt idx="0">
                  <c:v>Elektronik</c:v>
                </c:pt>
                <c:pt idx="1">
                  <c:v>Mobilya</c:v>
                </c:pt>
                <c:pt idx="2">
                  <c:v>Yedek Parça</c:v>
                </c:pt>
              </c:strCache>
            </c:strRef>
          </c:cat>
          <c:val>
            <c:numRef>
              <c:f>Pivot_Tables!$D$31:$D$34</c:f>
              <c:numCache>
                <c:formatCode>General</c:formatCode>
                <c:ptCount val="3"/>
                <c:pt idx="0">
                  <c:v>2725</c:v>
                </c:pt>
                <c:pt idx="1">
                  <c:v>595</c:v>
                </c:pt>
                <c:pt idx="2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8E-49CF-90AC-71B657BA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10</xdr:row>
      <xdr:rowOff>7620</xdr:rowOff>
    </xdr:from>
    <xdr:to>
      <xdr:col>5</xdr:col>
      <xdr:colOff>7620</xdr:colOff>
      <xdr:row>25</xdr:row>
      <xdr:rowOff>22860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BDA52FA-54AC-0031-21F1-C9BF4720C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</xdr:row>
      <xdr:rowOff>7620</xdr:rowOff>
    </xdr:from>
    <xdr:to>
      <xdr:col>9</xdr:col>
      <xdr:colOff>7620</xdr:colOff>
      <xdr:row>25</xdr:row>
      <xdr:rowOff>7620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7E26095-5B13-3997-DBD4-B4E1B5775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452845</xdr:colOff>
      <xdr:row>3</xdr:row>
      <xdr:rowOff>97972</xdr:rowOff>
    </xdr:from>
    <xdr:to>
      <xdr:col>10</xdr:col>
      <xdr:colOff>616130</xdr:colOff>
      <xdr:row>16</xdr:row>
      <xdr:rowOff>159204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Urun_Grubu">
              <a:extLst>
                <a:ext uri="{FF2B5EF4-FFF2-40B4-BE49-F238E27FC236}">
                  <a16:creationId xmlns:a16="http://schemas.microsoft.com/office/drawing/2014/main" id="{A68A1B91-DADC-9FAF-EF3D-EBD42750A0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_Grubu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5959" y="65314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638990</xdr:colOff>
      <xdr:row>3</xdr:row>
      <xdr:rowOff>99060</xdr:rowOff>
    </xdr:from>
    <xdr:to>
      <xdr:col>11</xdr:col>
      <xdr:colOff>290647</xdr:colOff>
      <xdr:row>16</xdr:row>
      <xdr:rowOff>160292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Hat_Adi">
              <a:extLst>
                <a:ext uri="{FF2B5EF4-FFF2-40B4-BE49-F238E27FC236}">
                  <a16:creationId xmlns:a16="http://schemas.microsoft.com/office/drawing/2014/main" id="{C9B4A30C-ED5F-0D4C-6639-79D58F9433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t_Ad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7619" y="654231"/>
              <a:ext cx="1828799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</xdr:col>
      <xdr:colOff>7620</xdr:colOff>
      <xdr:row>35</xdr:row>
      <xdr:rowOff>7620</xdr:rowOff>
    </xdr:from>
    <xdr:to>
      <xdr:col>3</xdr:col>
      <xdr:colOff>1920240</xdr:colOff>
      <xdr:row>45</xdr:row>
      <xdr:rowOff>175846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79A66E18-692D-B2CB-A1B7-16356B219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17929</xdr:rowOff>
    </xdr:from>
    <xdr:to>
      <xdr:col>8</xdr:col>
      <xdr:colOff>601980</xdr:colOff>
      <xdr:row>33</xdr:row>
      <xdr:rowOff>174171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499857B-73A4-488E-A6A6-A2C812FF3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600595</xdr:colOff>
      <xdr:row>35</xdr:row>
      <xdr:rowOff>169985</xdr:rowOff>
    </xdr:from>
    <xdr:to>
      <xdr:col>8</xdr:col>
      <xdr:colOff>601980</xdr:colOff>
      <xdr:row>50</xdr:row>
      <xdr:rowOff>9797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AE21381-79B6-4862-B57F-43469AD36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606399</xdr:colOff>
      <xdr:row>34</xdr:row>
      <xdr:rowOff>0</xdr:rowOff>
    </xdr:from>
    <xdr:to>
      <xdr:col>18</xdr:col>
      <xdr:colOff>26894</xdr:colOff>
      <xdr:row>49</xdr:row>
      <xdr:rowOff>178652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AADCBA5-21FA-4A9F-B357-F49F7A3D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15368</xdr:colOff>
      <xdr:row>18</xdr:row>
      <xdr:rowOff>12807</xdr:rowOff>
    </xdr:from>
    <xdr:to>
      <xdr:col>18</xdr:col>
      <xdr:colOff>15368</xdr:colOff>
      <xdr:row>27</xdr:row>
      <xdr:rowOff>8965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Urun_Grubu 1">
              <a:extLst>
                <a:ext uri="{FF2B5EF4-FFF2-40B4-BE49-F238E27FC236}">
                  <a16:creationId xmlns:a16="http://schemas.microsoft.com/office/drawing/2014/main" id="{09BBB9B7-A6D2-44A2-BD6A-64133B482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_Grubu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9368" y="3441807"/>
              <a:ext cx="1828800" cy="17106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1281</xdr:colOff>
      <xdr:row>18</xdr:row>
      <xdr:rowOff>13448</xdr:rowOff>
    </xdr:from>
    <xdr:to>
      <xdr:col>14</xdr:col>
      <xdr:colOff>1280</xdr:colOff>
      <xdr:row>27</xdr:row>
      <xdr:rowOff>44824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Hat_Adi 1">
              <a:extLst>
                <a:ext uri="{FF2B5EF4-FFF2-40B4-BE49-F238E27FC236}">
                  <a16:creationId xmlns:a16="http://schemas.microsoft.com/office/drawing/2014/main" id="{CA8FFCE5-9A57-44E6-90AC-6CE52B8B45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t_Adi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6881" y="3442448"/>
              <a:ext cx="1828799" cy="1745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Barış Ergin" refreshedDate="46182.019001273147" createdVersion="8" refreshedVersion="8" minRefreshableVersion="3" recordCount="10" xr:uid="{36F486F7-4FC6-4B23-93DF-9A9803A6652B}">
  <cacheSource type="worksheet">
    <worksheetSource name="ProductionLogs"/>
  </cacheSource>
  <cacheFields count="8">
    <cacheField name="Log_ID" numFmtId="0">
      <sharedItems containsSemiMixedTypes="0" containsString="0" containsNumber="1" containsInteger="1" minValue="1001" maxValue="1010"/>
    </cacheField>
    <cacheField name="Tarih" numFmtId="14">
      <sharedItems containsSemiMixedTypes="0" containsNonDate="0" containsDate="1" containsString="0" minDate="2026-01-15T00:00:00" maxDate="2026-03-21T00:00:00"/>
    </cacheField>
    <cacheField name="Hat_ID" numFmtId="0">
      <sharedItems/>
    </cacheField>
    <cacheField name="Hedeflenen_Miktar" numFmtId="0">
      <sharedItems containsSemiMixedTypes="0" containsString="0" containsNumber="1" containsInteger="1" minValue="300" maxValue="600"/>
    </cacheField>
    <cacheField name="Uretilen_Miktar" numFmtId="0">
      <sharedItems containsSemiMixedTypes="0" containsString="0" containsNumber="1" containsInteger="1" minValue="280" maxValue="610"/>
    </cacheField>
    <cacheField name="Hatali_Urun_Miktari" numFmtId="0">
      <sharedItems containsSemiMixedTypes="0" containsString="0" containsNumber="1" containsInteger="1" minValue="2" maxValue="35"/>
    </cacheField>
    <cacheField name="Urun_Grubu" numFmtId="0">
      <sharedItems count="3">
        <s v="Elektronik"/>
        <s v="Mobilya"/>
        <s v="Yedek Parça"/>
      </sharedItems>
    </cacheField>
    <cacheField name="Hat_Adi" numFmtId="0">
      <sharedItems count="4">
        <s v="Montaj Hattı A"/>
        <s v="Montaj Hattı B"/>
        <s v="Paketleme Hattı 1"/>
        <s v="Plastik Enjeksiyon"/>
      </sharedItems>
    </cacheField>
  </cacheFields>
  <extLst>
    <ext xmlns:x14="http://schemas.microsoft.com/office/spreadsheetml/2009/9/main" uri="{725AE2AE-9491-48be-B2B4-4EB974FC3084}">
      <x14:pivotCacheDefinition pivotCacheId="14730672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6-01-15T00:00:00"/>
    <s v="H01"/>
    <n v="500"/>
    <n v="480"/>
    <n v="12"/>
    <x v="0"/>
    <x v="0"/>
  </r>
  <r>
    <n v="1002"/>
    <d v="2026-01-15T00:00:00"/>
    <s v="H02"/>
    <n v="400"/>
    <n v="410"/>
    <n v="25"/>
    <x v="0"/>
    <x v="1"/>
  </r>
  <r>
    <n v="1003"/>
    <d v="2026-01-16T00:00:00"/>
    <s v="H01"/>
    <n v="500"/>
    <n v="495"/>
    <n v="8"/>
    <x v="0"/>
    <x v="0"/>
  </r>
  <r>
    <n v="1004"/>
    <d v="2026-01-16T00:00:00"/>
    <s v="H03"/>
    <n v="300"/>
    <n v="280"/>
    <n v="5"/>
    <x v="1"/>
    <x v="2"/>
  </r>
  <r>
    <n v="1005"/>
    <d v="2026-02-10T00:00:00"/>
    <s v="H02"/>
    <n v="420"/>
    <n v="390"/>
    <n v="30"/>
    <x v="0"/>
    <x v="1"/>
  </r>
  <r>
    <n v="1006"/>
    <d v="2026-02-11T00:00:00"/>
    <s v="H04"/>
    <n v="600"/>
    <n v="610"/>
    <n v="18"/>
    <x v="2"/>
    <x v="3"/>
  </r>
  <r>
    <n v="1007"/>
    <d v="2026-03-01T00:00:00"/>
    <s v="H01"/>
    <n v="520"/>
    <n v="510"/>
    <n v="15"/>
    <x v="0"/>
    <x v="0"/>
  </r>
  <r>
    <n v="1008"/>
    <d v="2026-03-02T00:00:00"/>
    <s v="H03"/>
    <n v="310"/>
    <n v="315"/>
    <n v="2"/>
    <x v="1"/>
    <x v="2"/>
  </r>
  <r>
    <n v="1009"/>
    <d v="2026-03-15T00:00:00"/>
    <s v="H04"/>
    <n v="600"/>
    <n v="580"/>
    <n v="22"/>
    <x v="2"/>
    <x v="3"/>
  </r>
  <r>
    <n v="1010"/>
    <d v="2026-03-20T00:00:00"/>
    <s v="H02"/>
    <n v="450"/>
    <n v="440"/>
    <n v="3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BBBA4-E5A3-4B2E-8A2D-DDB5453896D3}" name="PivotTable5" cacheId="1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C30:D34" firstHeaderRow="1" firstDataRow="1" firstDataCol="1"/>
  <pivotFields count="8">
    <pivotField showAll="0"/>
    <pivotField numFmtId="14"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Uretilen_Miktar" fld="4" baseField="0" baseItem="0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9E78F-1DB6-4554-B6BB-3763654D6206}" name="PivotTable4" cacheId="1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G4:I8" firstHeaderRow="0" firstDataRow="1" firstDataCol="1"/>
  <pivotFields count="8">
    <pivotField showAll="0"/>
    <pivotField numFmtId="14" showAll="0"/>
    <pivotField showAll="0"/>
    <pivotField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Uretilen_Miktar" fld="4" baseField="0" baseItem="0"/>
    <dataField name="Toplam Hatali_Urun_Miktari" fld="5" baseField="0" baseItem="0"/>
  </dataFields>
  <formats count="24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6" type="button" dataOnly="0" labelOnly="1" outline="0" axis="axisRow" fieldPosition="0"/>
    </format>
    <format dxfId="44">
      <pivotArea dataOnly="0" labelOnly="1" fieldPosition="0">
        <references count="1">
          <reference field="6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6" type="button" dataOnly="0" labelOnly="1" outline="0" axis="axisRow" fieldPosition="0"/>
    </format>
    <format dxfId="38">
      <pivotArea dataOnly="0" labelOnly="1" fieldPosition="0">
        <references count="1">
          <reference field="6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6" type="button" dataOnly="0" labelOnly="1" outline="0" axis="axisRow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6" type="button" dataOnly="0" labelOnly="1" outline="0" axis="axisRow" fieldPosition="0"/>
    </format>
    <format dxfId="26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E7A2B-ECF3-40C5-B7C1-C6AD7EE2242A}" name="PivotTable3" cacheId="1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C4:E9" firstHeaderRow="0" firstDataRow="1" firstDataCol="1"/>
  <pivotFields count="8">
    <pivotField showAll="0"/>
    <pivotField numFmtId="14" showAll="0"/>
    <pivotField showAll="0"/>
    <pivotField dataField="1"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Hedeflenen_Miktar" fld="3" baseField="0" baseItem="0"/>
    <dataField name="Toplam Uretilen_Miktar" fld="4" baseField="0" baseItem="0"/>
  </dataFields>
  <formats count="24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7" type="button" dataOnly="0" labelOnly="1" outline="0" axis="axisRow" fieldPosition="0"/>
    </format>
    <format dxfId="68">
      <pivotArea dataOnly="0" labelOnly="1" fieldPosition="0">
        <references count="1">
          <reference field="7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7" type="button" dataOnly="0" labelOnly="1" outline="0" axis="axisRow" fieldPosition="0"/>
    </format>
    <format dxfId="62">
      <pivotArea dataOnly="0" labelOnly="1" fieldPosition="0">
        <references count="1">
          <reference field="7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7" type="button" dataOnly="0" labelOnly="1" outline="0" axis="axisRow" fieldPosition="0"/>
    </format>
    <format dxfId="56">
      <pivotArea dataOnly="0" labelOnly="1" fieldPosition="0">
        <references count="1">
          <reference field="7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7" type="button" dataOnly="0" labelOnly="1" outline="0" axis="axisRow" fieldPosition="0"/>
    </format>
    <format dxfId="50">
      <pivotArea dataOnly="0" labelOnly="1" fieldPosition="0">
        <references count="1">
          <reference field="7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run_Grubu" xr10:uid="{C823E4F9-B596-40BF-96BE-308D97209825}" sourceName="Urun_Grubu">
  <pivotTables>
    <pivotTable tabId="3" name="PivotTable3"/>
    <pivotTable tabId="3" name="PivotTable4"/>
  </pivotTables>
  <data>
    <tabular pivotCacheId="1473067279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at_Adi" xr10:uid="{EEC85C12-7095-4915-8603-B39D38BF9A1B}" sourceName="Hat_Adi">
  <pivotTables>
    <pivotTable tabId="3" name="PivotTable3"/>
    <pivotTable tabId="3" name="PivotTable4"/>
  </pivotTables>
  <data>
    <tabular pivotCacheId="147306727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run_Grubu" xr10:uid="{897E2F5F-5C47-4C5B-BA3C-EBAA5DF5B0FC}" cache="Dilimleyici_Urun_Grubu" caption="Urun_Grubu" rowHeight="234950"/>
  <slicer name="Hat_Adi" xr10:uid="{B47553DD-2E5E-48B0-8E9C-323B184D1289}" cache="Dilimleyici_Hat_Adi" caption="Hat_Adi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run_Grubu 1" xr10:uid="{153F931A-8E9E-401F-95FB-9F7D773170BB}" cache="Dilimleyici_Urun_Grubu" caption="Urun_Grubu" rowHeight="234950"/>
  <slicer name="Hat_Adi 1" xr10:uid="{A2C135BE-AF3F-432E-8D38-6816DB69D79F}" cache="Dilimleyici_Hat_Adi" caption="Hat_Adi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D318D-70CD-4333-9F69-0268E25A6CDD}" name="ProductionLines" displayName="ProductionLines" ref="C4:F8" totalsRowShown="0" headerRowDxfId="85" headerRowBorderDxfId="91" tableBorderDxfId="92" totalsRowBorderDxfId="90">
  <autoFilter ref="C4:F8" xr:uid="{814D318D-70CD-4333-9F69-0268E25A6CDD}"/>
  <tableColumns count="4">
    <tableColumn id="1" xr3:uid="{70128575-4AC8-4369-BB7F-4617759C3CE2}" name="Hat_ID" dataDxfId="89"/>
    <tableColumn id="2" xr3:uid="{0E67BA5F-538A-4BB4-831D-3F92090DBF4E}" name="Hat_Adi" dataDxfId="88"/>
    <tableColumn id="3" xr3:uid="{1D709B32-BC2C-49EC-A16A-19DCB8695EE2}" name="Urun_Grubu" dataDxfId="87"/>
    <tableColumn id="4" xr3:uid="{B59BBCAD-0522-4D21-9415-EE10FDC1A0A3}" name="Sorumlu_Vardiya_Amiri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E813E-1890-4E15-AB88-749E4C64FB59}" name="ProductionLogs" displayName="ProductionLogs" ref="C4:J14" totalsRowShown="0" headerRowDxfId="74" dataDxfId="75" headerRowBorderDxfId="83" tableBorderDxfId="84" totalsRowBorderDxfId="82">
  <autoFilter ref="C4:J14" xr:uid="{A31E813E-1890-4E15-AB88-749E4C64FB59}"/>
  <tableColumns count="8">
    <tableColumn id="1" xr3:uid="{FD39DAF1-F7CB-46BD-BB55-43CADDB77456}" name="Log_ID" dataDxfId="81"/>
    <tableColumn id="2" xr3:uid="{9C7328A9-801B-408D-B33D-CD09CB4FF8B1}" name="Tarih" dataDxfId="80"/>
    <tableColumn id="3" xr3:uid="{6F4737E2-C955-4FBF-9007-B5ED4F0A29C8}" name="Hat_ID" dataDxfId="79"/>
    <tableColumn id="4" xr3:uid="{F8A492D8-1A5A-4AFC-881A-E784F7B2AE10}" name="Hedeflenen_Miktar" dataDxfId="78"/>
    <tableColumn id="5" xr3:uid="{84837C31-E9C9-475F-ABDD-AD2EB06C28AC}" name="Uretilen_Miktar" dataDxfId="77"/>
    <tableColumn id="6" xr3:uid="{8F449059-F530-43E3-9B9B-B130103FD12A}" name="Hatali_Urun_Miktari" dataDxfId="76"/>
    <tableColumn id="7" xr3:uid="{3ECCBF89-FA45-4DDE-AE7F-40EBB42FF56E}" name="Urun_Grubu" dataDxfId="73">
      <calculatedColumnFormula>VLOOKUP(ProductionLines[[#Headers],[Hat_Adi]],ProductionLines[#All],3,0)</calculatedColumnFormula>
    </tableColumn>
    <tableColumn id="8" xr3:uid="{DB391E4A-AF90-45D0-A775-B622DACD5DC6}" name="Hat_Adi" dataDxfId="72">
      <calculatedColumnFormula>VLOOKUP(ProductionLogs[[#This Row],[Hat_ID]],ProductionLines[],2,0)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AB6F-201E-481D-8EB1-C0084354D068}">
  <dimension ref="C4:F8"/>
  <sheetViews>
    <sheetView workbookViewId="0">
      <selection activeCell="E17" sqref="E17"/>
    </sheetView>
  </sheetViews>
  <sheetFormatPr defaultRowHeight="14.4" x14ac:dyDescent="0.3"/>
  <cols>
    <col min="3" max="3" width="9.21875" customWidth="1"/>
    <col min="4" max="4" width="11.88671875" customWidth="1"/>
    <col min="5" max="5" width="14.6640625" customWidth="1"/>
    <col min="6" max="6" width="28" customWidth="1"/>
  </cols>
  <sheetData>
    <row r="4" spans="3:6" ht="27.6" x14ac:dyDescent="0.3">
      <c r="C4" s="4" t="s">
        <v>15</v>
      </c>
      <c r="D4" s="5" t="s">
        <v>16</v>
      </c>
      <c r="E4" s="5" t="s">
        <v>17</v>
      </c>
      <c r="F4" s="6" t="s">
        <v>18</v>
      </c>
    </row>
    <row r="5" spans="3:6" ht="27.6" x14ac:dyDescent="0.3">
      <c r="C5" s="2" t="s">
        <v>0</v>
      </c>
      <c r="D5" s="1" t="s">
        <v>1</v>
      </c>
      <c r="E5" s="1" t="s">
        <v>2</v>
      </c>
      <c r="F5" s="3" t="s">
        <v>3</v>
      </c>
    </row>
    <row r="6" spans="3:6" ht="27.6" x14ac:dyDescent="0.3">
      <c r="C6" s="2" t="s">
        <v>4</v>
      </c>
      <c r="D6" s="1" t="s">
        <v>5</v>
      </c>
      <c r="E6" s="1" t="s">
        <v>2</v>
      </c>
      <c r="F6" s="3" t="s">
        <v>6</v>
      </c>
    </row>
    <row r="7" spans="3:6" ht="41.4" x14ac:dyDescent="0.3">
      <c r="C7" s="2" t="s">
        <v>7</v>
      </c>
      <c r="D7" s="1" t="s">
        <v>8</v>
      </c>
      <c r="E7" s="1" t="s">
        <v>9</v>
      </c>
      <c r="F7" s="3" t="s">
        <v>10</v>
      </c>
    </row>
    <row r="8" spans="3:6" ht="41.4" x14ac:dyDescent="0.3">
      <c r="C8" s="7" t="s">
        <v>11</v>
      </c>
      <c r="D8" s="8" t="s">
        <v>12</v>
      </c>
      <c r="E8" s="8" t="s">
        <v>13</v>
      </c>
      <c r="F8" s="9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9723-1065-4691-B1CB-73EFAECCBF0D}">
  <dimension ref="C4:J14"/>
  <sheetViews>
    <sheetView workbookViewId="0">
      <selection activeCell="G21" sqref="G21"/>
    </sheetView>
  </sheetViews>
  <sheetFormatPr defaultRowHeight="14.4" x14ac:dyDescent="0.3"/>
  <cols>
    <col min="3" max="3" width="9.6640625" customWidth="1"/>
    <col min="4" max="4" width="11" bestFit="1" customWidth="1"/>
    <col min="5" max="5" width="14.6640625" customWidth="1"/>
    <col min="6" max="6" width="21.109375" customWidth="1"/>
    <col min="7" max="7" width="17.5546875" customWidth="1"/>
    <col min="8" max="8" width="22.33203125" customWidth="1"/>
    <col min="9" max="9" width="15.33203125" customWidth="1"/>
    <col min="10" max="10" width="17.33203125" bestFit="1" customWidth="1"/>
  </cols>
  <sheetData>
    <row r="4" spans="3:10" x14ac:dyDescent="0.3">
      <c r="C4" s="4" t="s">
        <v>22</v>
      </c>
      <c r="D4" s="5" t="s">
        <v>21</v>
      </c>
      <c r="E4" s="5" t="s">
        <v>15</v>
      </c>
      <c r="F4" s="5" t="s">
        <v>23</v>
      </c>
      <c r="G4" s="5" t="s">
        <v>24</v>
      </c>
      <c r="H4" s="6" t="s">
        <v>25</v>
      </c>
      <c r="I4" s="5" t="s">
        <v>17</v>
      </c>
      <c r="J4" s="5" t="s">
        <v>16</v>
      </c>
    </row>
    <row r="5" spans="3:10" x14ac:dyDescent="0.3">
      <c r="C5" s="2">
        <v>1001</v>
      </c>
      <c r="D5" s="10">
        <v>46037</v>
      </c>
      <c r="E5" s="1" t="s">
        <v>0</v>
      </c>
      <c r="F5" s="1">
        <v>500</v>
      </c>
      <c r="G5" s="1">
        <v>480</v>
      </c>
      <c r="H5" s="3">
        <v>12</v>
      </c>
      <c r="I5" s="12" t="str">
        <f>VLOOKUP(ProductionLogs[[#This Row],[Hat_ID]],ProductionLines[],3,0)</f>
        <v>Elektronik</v>
      </c>
      <c r="J5" s="12" t="str">
        <f>VLOOKUP(ProductionLogs[[#This Row],[Hat_ID]],ProductionLines[],2,0)</f>
        <v>Montaj Hattı A</v>
      </c>
    </row>
    <row r="6" spans="3:10" x14ac:dyDescent="0.3">
      <c r="C6" s="2">
        <v>1002</v>
      </c>
      <c r="D6" s="10">
        <v>46037</v>
      </c>
      <c r="E6" s="1" t="s">
        <v>4</v>
      </c>
      <c r="F6" s="1">
        <v>400</v>
      </c>
      <c r="G6" s="1">
        <v>410</v>
      </c>
      <c r="H6" s="3">
        <v>25</v>
      </c>
      <c r="I6" s="12" t="str">
        <f>VLOOKUP(ProductionLogs[[#This Row],[Hat_ID]],ProductionLines[],3,0)</f>
        <v>Elektronik</v>
      </c>
      <c r="J6" s="1" t="str">
        <f>VLOOKUP(ProductionLogs[[#This Row],[Hat_ID]],ProductionLines[],2,0)</f>
        <v>Montaj Hattı B</v>
      </c>
    </row>
    <row r="7" spans="3:10" x14ac:dyDescent="0.3">
      <c r="C7" s="2">
        <v>1003</v>
      </c>
      <c r="D7" s="10">
        <v>46038</v>
      </c>
      <c r="E7" s="1" t="s">
        <v>0</v>
      </c>
      <c r="F7" s="1">
        <v>500</v>
      </c>
      <c r="G7" s="1">
        <v>495</v>
      </c>
      <c r="H7" s="3">
        <v>8</v>
      </c>
      <c r="I7" s="12" t="str">
        <f>VLOOKUP(ProductionLogs[[#This Row],[Hat_ID]],ProductionLines[],3,0)</f>
        <v>Elektronik</v>
      </c>
      <c r="J7" s="1" t="str">
        <f>VLOOKUP(ProductionLogs[[#This Row],[Hat_ID]],ProductionLines[],2,0)</f>
        <v>Montaj Hattı A</v>
      </c>
    </row>
    <row r="8" spans="3:10" x14ac:dyDescent="0.3">
      <c r="C8" s="2">
        <v>1004</v>
      </c>
      <c r="D8" s="10">
        <v>46038</v>
      </c>
      <c r="E8" s="1" t="s">
        <v>7</v>
      </c>
      <c r="F8" s="1">
        <v>300</v>
      </c>
      <c r="G8" s="1">
        <v>280</v>
      </c>
      <c r="H8" s="3">
        <v>5</v>
      </c>
      <c r="I8" s="12" t="str">
        <f>VLOOKUP(ProductionLogs[[#This Row],[Hat_ID]],ProductionLines[],3,0)</f>
        <v>Mobilya</v>
      </c>
      <c r="J8" s="1" t="str">
        <f>VLOOKUP(ProductionLogs[[#This Row],[Hat_ID]],ProductionLines[],2,0)</f>
        <v>Paketleme Hattı 1</v>
      </c>
    </row>
    <row r="9" spans="3:10" x14ac:dyDescent="0.3">
      <c r="C9" s="2">
        <v>1005</v>
      </c>
      <c r="D9" s="10">
        <v>46063</v>
      </c>
      <c r="E9" s="1" t="s">
        <v>4</v>
      </c>
      <c r="F9" s="1">
        <v>420</v>
      </c>
      <c r="G9" s="1">
        <v>390</v>
      </c>
      <c r="H9" s="3">
        <v>30</v>
      </c>
      <c r="I9" s="12" t="str">
        <f>VLOOKUP(ProductionLogs[[#This Row],[Hat_ID]],ProductionLines[],3,0)</f>
        <v>Elektronik</v>
      </c>
      <c r="J9" s="1" t="str">
        <f>VLOOKUP(ProductionLogs[[#This Row],[Hat_ID]],ProductionLines[],2,0)</f>
        <v>Montaj Hattı B</v>
      </c>
    </row>
    <row r="10" spans="3:10" x14ac:dyDescent="0.3">
      <c r="C10" s="2">
        <v>1006</v>
      </c>
      <c r="D10" s="10">
        <v>46064</v>
      </c>
      <c r="E10" s="1" t="s">
        <v>11</v>
      </c>
      <c r="F10" s="1">
        <v>600</v>
      </c>
      <c r="G10" s="1">
        <v>610</v>
      </c>
      <c r="H10" s="3">
        <v>18</v>
      </c>
      <c r="I10" s="12" t="str">
        <f>VLOOKUP(ProductionLogs[[#This Row],[Hat_ID]],ProductionLines[],3,0)</f>
        <v>Yedek Parça</v>
      </c>
      <c r="J10" s="1" t="str">
        <f>VLOOKUP(ProductionLogs[[#This Row],[Hat_ID]],ProductionLines[],2,0)</f>
        <v>Plastik Enjeksiyon</v>
      </c>
    </row>
    <row r="11" spans="3:10" x14ac:dyDescent="0.3">
      <c r="C11" s="2">
        <v>1007</v>
      </c>
      <c r="D11" s="10">
        <v>46082</v>
      </c>
      <c r="E11" s="1" t="s">
        <v>0</v>
      </c>
      <c r="F11" s="1">
        <v>520</v>
      </c>
      <c r="G11" s="1">
        <v>510</v>
      </c>
      <c r="H11" s="3">
        <v>15</v>
      </c>
      <c r="I11" s="12" t="str">
        <f>VLOOKUP(ProductionLogs[[#This Row],[Hat_ID]],ProductionLines[],3,0)</f>
        <v>Elektronik</v>
      </c>
      <c r="J11" s="1" t="str">
        <f>VLOOKUP(ProductionLogs[[#This Row],[Hat_ID]],ProductionLines[],2,0)</f>
        <v>Montaj Hattı A</v>
      </c>
    </row>
    <row r="12" spans="3:10" x14ac:dyDescent="0.3">
      <c r="C12" s="2">
        <v>1008</v>
      </c>
      <c r="D12" s="10">
        <v>46083</v>
      </c>
      <c r="E12" s="1" t="s">
        <v>7</v>
      </c>
      <c r="F12" s="1">
        <v>310</v>
      </c>
      <c r="G12" s="1">
        <v>315</v>
      </c>
      <c r="H12" s="3">
        <v>2</v>
      </c>
      <c r="I12" s="12" t="str">
        <f>VLOOKUP(ProductionLogs[[#This Row],[Hat_ID]],ProductionLines[],3,0)</f>
        <v>Mobilya</v>
      </c>
      <c r="J12" s="1" t="str">
        <f>VLOOKUP(ProductionLogs[[#This Row],[Hat_ID]],ProductionLines[],2,0)</f>
        <v>Paketleme Hattı 1</v>
      </c>
    </row>
    <row r="13" spans="3:10" x14ac:dyDescent="0.3">
      <c r="C13" s="2">
        <v>1009</v>
      </c>
      <c r="D13" s="10">
        <v>46096</v>
      </c>
      <c r="E13" s="1" t="s">
        <v>11</v>
      </c>
      <c r="F13" s="1">
        <v>600</v>
      </c>
      <c r="G13" s="1">
        <v>580</v>
      </c>
      <c r="H13" s="3">
        <v>22</v>
      </c>
      <c r="I13" s="12" t="str">
        <f>VLOOKUP(ProductionLogs[[#This Row],[Hat_ID]],ProductionLines[],3,0)</f>
        <v>Yedek Parça</v>
      </c>
      <c r="J13" s="1" t="str">
        <f>VLOOKUP(ProductionLogs[[#This Row],[Hat_ID]],ProductionLines[],2,0)</f>
        <v>Plastik Enjeksiyon</v>
      </c>
    </row>
    <row r="14" spans="3:10" x14ac:dyDescent="0.3">
      <c r="C14" s="7">
        <v>1010</v>
      </c>
      <c r="D14" s="11">
        <v>46101</v>
      </c>
      <c r="E14" s="8" t="s">
        <v>4</v>
      </c>
      <c r="F14" s="8">
        <v>450</v>
      </c>
      <c r="G14" s="8">
        <v>440</v>
      </c>
      <c r="H14" s="9">
        <v>35</v>
      </c>
      <c r="I14" s="12" t="str">
        <f>VLOOKUP(ProductionLogs[[#This Row],[Hat_ID]],ProductionLines[],3,0)</f>
        <v>Elektronik</v>
      </c>
      <c r="J14" s="8" t="str">
        <f>VLOOKUP(ProductionLogs[[#This Row],[Hat_ID]],ProductionLines[],2,0)</f>
        <v>Montaj Hattı B</v>
      </c>
    </row>
  </sheetData>
  <pageMargins left="0.7" right="0.7" top="0.75" bottom="0.75" header="0.3" footer="0.3"/>
  <ignoredErrors>
    <ignoredError sqref="I5:I1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02E3-2F45-418C-B065-915EDAF7B29D}">
  <dimension ref="C4:I34"/>
  <sheetViews>
    <sheetView zoomScale="70" zoomScaleNormal="70" workbookViewId="0">
      <selection activeCell="G32" sqref="G32"/>
    </sheetView>
  </sheetViews>
  <sheetFormatPr defaultRowHeight="14.4" x14ac:dyDescent="0.3"/>
  <cols>
    <col min="3" max="3" width="16.6640625" bestFit="1" customWidth="1"/>
    <col min="4" max="4" width="28.21875" bestFit="1" customWidth="1"/>
    <col min="5" max="5" width="25" bestFit="1" customWidth="1"/>
    <col min="6" max="6" width="24.33203125" bestFit="1" customWidth="1"/>
    <col min="7" max="7" width="21.88671875" bestFit="1" customWidth="1"/>
    <col min="8" max="8" width="25" bestFit="1" customWidth="1"/>
    <col min="9" max="9" width="29.6640625" bestFit="1" customWidth="1"/>
    <col min="10" max="10" width="24.33203125" bestFit="1" customWidth="1"/>
    <col min="11" max="11" width="31.77734375" bestFit="1" customWidth="1"/>
    <col min="12" max="12" width="28.6640625" bestFit="1" customWidth="1"/>
    <col min="16" max="16" width="15" bestFit="1" customWidth="1"/>
  </cols>
  <sheetData>
    <row r="4" spans="3:9" x14ac:dyDescent="0.3">
      <c r="C4" s="13" t="s">
        <v>19</v>
      </c>
      <c r="D4" s="14" t="s">
        <v>26</v>
      </c>
      <c r="E4" s="14" t="s">
        <v>27</v>
      </c>
      <c r="G4" s="13" t="s">
        <v>19</v>
      </c>
      <c r="H4" s="14" t="s">
        <v>27</v>
      </c>
      <c r="I4" s="14" t="s">
        <v>28</v>
      </c>
    </row>
    <row r="5" spans="3:9" x14ac:dyDescent="0.3">
      <c r="C5" s="14" t="s">
        <v>1</v>
      </c>
      <c r="D5" s="15">
        <v>1520</v>
      </c>
      <c r="E5" s="15">
        <v>1485</v>
      </c>
      <c r="G5" s="14" t="s">
        <v>2</v>
      </c>
      <c r="H5" s="15">
        <v>2725</v>
      </c>
      <c r="I5" s="15">
        <v>125</v>
      </c>
    </row>
    <row r="6" spans="3:9" x14ac:dyDescent="0.3">
      <c r="C6" s="14" t="s">
        <v>5</v>
      </c>
      <c r="D6" s="15">
        <v>1270</v>
      </c>
      <c r="E6" s="15">
        <v>1240</v>
      </c>
      <c r="G6" s="14" t="s">
        <v>9</v>
      </c>
      <c r="H6" s="15">
        <v>595</v>
      </c>
      <c r="I6" s="15">
        <v>7</v>
      </c>
    </row>
    <row r="7" spans="3:9" x14ac:dyDescent="0.3">
      <c r="C7" s="14" t="s">
        <v>8</v>
      </c>
      <c r="D7" s="15">
        <v>610</v>
      </c>
      <c r="E7" s="15">
        <v>595</v>
      </c>
      <c r="G7" s="14" t="s">
        <v>13</v>
      </c>
      <c r="H7" s="15">
        <v>1190</v>
      </c>
      <c r="I7" s="15">
        <v>40</v>
      </c>
    </row>
    <row r="8" spans="3:9" x14ac:dyDescent="0.3">
      <c r="C8" s="14" t="s">
        <v>12</v>
      </c>
      <c r="D8" s="15">
        <v>1200</v>
      </c>
      <c r="E8" s="15">
        <v>1190</v>
      </c>
      <c r="G8" s="14" t="s">
        <v>20</v>
      </c>
      <c r="H8" s="15">
        <v>4510</v>
      </c>
      <c r="I8" s="15">
        <v>172</v>
      </c>
    </row>
    <row r="9" spans="3:9" x14ac:dyDescent="0.3">
      <c r="C9" s="14" t="s">
        <v>20</v>
      </c>
      <c r="D9" s="15">
        <v>4600</v>
      </c>
      <c r="E9" s="15">
        <v>4510</v>
      </c>
    </row>
    <row r="30" spans="3:4" x14ac:dyDescent="0.3">
      <c r="C30" s="13" t="s">
        <v>19</v>
      </c>
      <c r="D30" s="14" t="s">
        <v>27</v>
      </c>
    </row>
    <row r="31" spans="3:4" x14ac:dyDescent="0.3">
      <c r="C31" s="14" t="s">
        <v>2</v>
      </c>
      <c r="D31" s="15">
        <v>2725</v>
      </c>
    </row>
    <row r="32" spans="3:4" x14ac:dyDescent="0.3">
      <c r="C32" s="14" t="s">
        <v>9</v>
      </c>
      <c r="D32" s="15">
        <v>595</v>
      </c>
    </row>
    <row r="33" spans="3:4" x14ac:dyDescent="0.3">
      <c r="C33" s="14" t="s">
        <v>13</v>
      </c>
      <c r="D33" s="15">
        <v>1190</v>
      </c>
    </row>
    <row r="34" spans="3:4" x14ac:dyDescent="0.3">
      <c r="C34" s="14" t="s">
        <v>20</v>
      </c>
      <c r="D34" s="15">
        <v>4510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DB3A-CA7B-403B-97C9-790D5D129EC1}">
  <dimension ref="A1:R15"/>
  <sheetViews>
    <sheetView showGridLines="0" tabSelected="1" zoomScale="40" zoomScaleNormal="40" workbookViewId="0">
      <selection activeCell="AC29" sqref="AC29"/>
    </sheetView>
  </sheetViews>
  <sheetFormatPr defaultRowHeight="14.4" x14ac:dyDescent="0.3"/>
  <sheetData>
    <row r="1" spans="1:18" x14ac:dyDescent="0.3">
      <c r="A1" s="22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10" spans="1:18" x14ac:dyDescent="0.3">
      <c r="B10" s="16" t="s">
        <v>30</v>
      </c>
      <c r="C10" s="16"/>
      <c r="D10" s="16"/>
      <c r="E10" s="16"/>
      <c r="H10" s="18" t="s">
        <v>31</v>
      </c>
      <c r="I10" s="18"/>
      <c r="J10" s="18"/>
      <c r="K10" s="18"/>
      <c r="N10" s="20" t="s">
        <v>32</v>
      </c>
      <c r="O10" s="20"/>
      <c r="P10" s="20"/>
      <c r="Q10" s="20"/>
    </row>
    <row r="11" spans="1:18" x14ac:dyDescent="0.3">
      <c r="B11" s="16"/>
      <c r="C11" s="16"/>
      <c r="D11" s="16"/>
      <c r="E11" s="16"/>
      <c r="H11" s="18"/>
      <c r="I11" s="18"/>
      <c r="J11" s="18"/>
      <c r="K11" s="18"/>
      <c r="N11" s="20"/>
      <c r="O11" s="20"/>
      <c r="P11" s="20"/>
      <c r="Q11" s="20"/>
    </row>
    <row r="12" spans="1:18" x14ac:dyDescent="0.3">
      <c r="B12" s="16"/>
      <c r="C12" s="16"/>
      <c r="D12" s="16"/>
      <c r="E12" s="16"/>
      <c r="H12" s="18"/>
      <c r="I12" s="18"/>
      <c r="J12" s="18"/>
      <c r="K12" s="18"/>
      <c r="N12" s="20"/>
      <c r="O12" s="20"/>
      <c r="P12" s="20"/>
      <c r="Q12" s="20"/>
    </row>
    <row r="13" spans="1:18" x14ac:dyDescent="0.3">
      <c r="B13" s="16"/>
      <c r="C13" s="16"/>
      <c r="D13" s="16"/>
      <c r="E13" s="16"/>
      <c r="H13" s="18"/>
      <c r="I13" s="18"/>
      <c r="J13" s="18"/>
      <c r="K13" s="18"/>
      <c r="N13" s="20"/>
      <c r="O13" s="20"/>
      <c r="P13" s="20"/>
      <c r="Q13" s="20"/>
    </row>
    <row r="14" spans="1:18" x14ac:dyDescent="0.3">
      <c r="B14" s="17">
        <f>SUMIFS(ProductionLogs[Uretilen_Miktar],ProductionLogs[Uretilen_Miktar],"&gt;0")</f>
        <v>4510</v>
      </c>
      <c r="C14" s="17"/>
      <c r="D14" s="17"/>
      <c r="E14" s="17"/>
      <c r="H14" s="19">
        <f>SUMIFS(ProductionLogs[Uretilen_Miktar],ProductionLogs[Uretilen_Miktar],"&gt;0") / SUMIFS(ProductionLogs[Hedeflenen_Miktar],ProductionLogs[Hedeflenen_Miktar],"&gt;0")</f>
        <v>0.98043478260869565</v>
      </c>
      <c r="I14" s="19"/>
      <c r="J14" s="19"/>
      <c r="K14" s="19"/>
      <c r="N14" s="21">
        <f>SUMIFS(ProductionLogs[Hatali_Urun_Miktari],ProductionLogs[Hatali_Urun_Miktari],"&gt;0") / SUMIFS(ProductionLogs[Uretilen_Miktar],ProductionLogs[Uretilen_Miktar],"&gt;0")</f>
        <v>3.8137472283813749E-2</v>
      </c>
      <c r="O14" s="21"/>
      <c r="P14" s="21"/>
      <c r="Q14" s="21"/>
    </row>
    <row r="15" spans="1:18" x14ac:dyDescent="0.3">
      <c r="B15" s="17"/>
      <c r="C15" s="17"/>
      <c r="D15" s="17"/>
      <c r="E15" s="17"/>
      <c r="H15" s="19"/>
      <c r="I15" s="19"/>
      <c r="J15" s="19"/>
      <c r="K15" s="19"/>
      <c r="N15" s="21"/>
      <c r="O15" s="21"/>
      <c r="P15" s="21"/>
      <c r="Q15" s="21"/>
    </row>
  </sheetData>
  <mergeCells count="7">
    <mergeCell ref="A1:R7"/>
    <mergeCell ref="B10:E13"/>
    <mergeCell ref="B14:E15"/>
    <mergeCell ref="H10:K13"/>
    <mergeCell ref="H14:K15"/>
    <mergeCell ref="N10:Q13"/>
    <mergeCell ref="N14:Q1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Production_Lines</vt:lpstr>
      <vt:lpstr>Production_Logs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Barış Ergin</dc:creator>
  <cp:lastModifiedBy>Emir Barış Ergin</cp:lastModifiedBy>
  <dcterms:created xsi:type="dcterms:W3CDTF">2026-06-08T21:10:08Z</dcterms:created>
  <dcterms:modified xsi:type="dcterms:W3CDTF">2026-06-08T22:00:59Z</dcterms:modified>
</cp:coreProperties>
</file>